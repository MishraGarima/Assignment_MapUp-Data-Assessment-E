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PycharmProjects\MapUp-Data-Assessment-E\"/>
    </mc:Choice>
  </mc:AlternateContent>
  <xr:revisionPtr revIDLastSave="0" documentId="13_ncr:1_{B890D0A4-E29D-4734-97FA-5E40346B5408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B16" i="16" a="1"/>
  <c r="B16" i="16" s="1"/>
  <c r="B41" i="16" a="1"/>
  <c r="B41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F30" i="18"/>
  <c r="F29" i="18"/>
  <c r="F28" i="18"/>
  <c r="E30" i="18"/>
  <c r="E29" i="18"/>
  <c r="E28" i="18"/>
  <c r="D30" i="18"/>
  <c r="D29" i="18"/>
  <c r="D28" i="18"/>
  <c r="C30" i="18"/>
  <c r="C29" i="18"/>
  <c r="C28" i="18"/>
  <c r="B29" i="18"/>
  <c r="B30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B6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<sst xmlns="http://schemas.openxmlformats.org/spreadsheetml/2006/main" count="331" uniqueCount="186">
  <si>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</si>
  <si>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</si>
  <si>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</si>
  <si>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</si>
  <si>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</si>
  <si>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</si>
  <si>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</si>
  <si>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</si>
  <si>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</si>
  <si>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</si>
  <si>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</si>
  <si>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</si>
  <si>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</si>
  <si>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</si>
  <si>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</si>
  <si>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</si>
  <si>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</si>
  <si>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</si>
  <si>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</si>
  <si>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</si>
  <si>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</si>
  <si>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</si>
  <si>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</si>
  <si>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</si>
  <si>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</si>
  <si>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</si>
  <si>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</si>
  <si>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</si>
  <si>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</si>
  <si>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</si>
  <si>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</si>
  <si>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</si>
  <si>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</si>
  <si>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</si>
  <si>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</si>
  <si>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</si>
  <si>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</si>
  <si>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</si>
  <si>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</si>
  <si>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</si>
  <si>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</si>
  <si>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</si>
  <si>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</si>
  <si>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</si>
  <si>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</si>
  <si>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</si>
  <si>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</si>
  <si>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</si>
  <si>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</si>
  <si>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</si>
  <si>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</si>
  <si>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</si>
  <si>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</si>
  <si>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</si>
  <si>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</si>
  <si>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</si>
  <si>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</si>
  <si>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</si>
  <si>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</si>
  <si>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</si>
  <si>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</si>
  <si>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</si>
  <si>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</si>
  <si>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</si>
  <si>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</si>
  <si>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</si>
  <si>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</si>
  <si>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</si>
  <si>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</si>
  <si>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</si>
  <si>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</si>
  <si>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</si>
  <si>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</si>
  <si>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</si>
  <si>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</si>
  <si>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</si>
  <si>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</si>
  <si>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</si>
  <si>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</si>
  <si>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</si>
  <si>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</si>
  <si>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</si>
  <si>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</si>
  <si>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</si>
  <si>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</si>
  <si>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</si>
  <si>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</si>
  <si>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</si>
  <si>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</si>
  <si>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</si>
  <si>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</si>
  <si>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</si>
  <si>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</si>
  <si>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</si>
  <si>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</si>
  <si>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</si>
  <si>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</si>
  <si>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</si>
  <si>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</si>
  <si>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</si>
  <si>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</si>
  <si>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</si>
  <si>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</si>
  <si>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</si>
  <si>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</si>
  <si>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</si>
  <si>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</si>
  <si>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</si>
  <si>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</si>
  <si>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</si>
  <si>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</si>
  <si>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</si>
  <si>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</si>
  <si>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</si>
  <si>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</si>
  <si>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</si>
  <si>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</si>
  <si>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</si>
  <si>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</si>
  <si>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</si>
  <si>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</si>
  <si>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</si>
  <si>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</si>
  <si>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</si>
  <si>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</si>
  <si>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</si>
  <si>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</si>
  <si>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</si>
  <si>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</si>
  <si>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</si>
  <si>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</si>
  <si>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</si>
  <si>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</si>
  <si>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</si>
  <si>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</si>
  <si>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</si>
  <si>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</si>
  <si>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</si>
  <si>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</si>
  <si>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</si>
  <si>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</si>
  <si>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</si>
  <si>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</si>
  <si>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</si>
  <si>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</si>
  <si>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</si>
  <si>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</si>
  <si>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</si>
  <si>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</si>
  <si>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</si>
  <si>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</si>
  <si>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</si>
  <si>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</si>
  <si>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</si>
  <si>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</si>
  <si>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</si>
  <si>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</si>
  <si>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</si>
  <si>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</si>
  <si>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</si>
  <si>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</si>
  <si>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</si>
  <si>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</si>
  <si>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</si>
  <si>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</si>
  <si>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</si>
  <si>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</si>
  <si>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</si>
  <si>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</si>
  <si>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</si>
  <si>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</si>
  <si>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</si>
  <si>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</si>
  <si>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</si>
  <si>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</si>
  <si>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</si>
  <si>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</si>
  <si>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</si>
  <si>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=SUMIF(Dataset!H:H,"&gt;20",Dataset!H:H)</t>
  </si>
  <si>
    <t>Result</t>
  </si>
  <si>
    <t>=TEXTSPLIT($A16,"-")</t>
  </si>
  <si>
    <t>The excel formula splits the provided text at the specified delimitated value</t>
  </si>
  <si>
    <t>=INDEX($A$9:$J$18,MATCH(VLOOKUP($A23,$M$9:$N$18,2,0),$A$9:$A$18,0),MATCH(VLOOKUP($B23,$M$9:$N$18,2,0),$A$9:$J$9,0))</t>
  </si>
  <si>
    <t>consider name_1 as row value and name_2 as column value, look for names in table_B using VLOOKUP, MATCH these names to rows and columns in table_A and INDEX the exact value</t>
  </si>
  <si>
    <t>=SUM(IF(ISNA(C12:C21), 20, C12:C21))</t>
  </si>
  <si>
    <t>check if N/A is present using ISNA and replace with 20 and sum the values accordingly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</si>
</sst>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quotePrefix="1" applyFont="1"/>
    <xf numFmtId="0" fontId="15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2" activePane="bottomLeft" state="frozen"/>
      <selection pane="bottomLeft" activeCell="A32" sqref="A3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zoomScaleNormal="100" workbookViewId="0">
      <selection activeCell="F9" sqref="F9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6.1640625" style="1" bestFit="1" customWidth="1"/>
    <col min="6" max="6" width="43.33203125" style="1" bestFit="1" customWidth="1"/>
    <col min="7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177</v>
      </c>
      <c r="F1" s="4" t="s">
        <v>179</v>
      </c>
    </row>
    <row r="2" spans="1:6" x14ac:dyDescent="0.25">
      <c r="A2" s="2"/>
      <c r="B2" s="5" t="s">
        <v>161</v>
      </c>
      <c r="C2" s="2"/>
    </row>
    <row r="3" spans="1:6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6" x14ac:dyDescent="0.25">
      <c r="A4" s="6">
        <v>2</v>
      </c>
      <c r="B4" s="2" t="s">
        <v>46</v>
      </c>
      <c r="C4" s="2"/>
      <c r="E4" s="1">
        <v>5</v>
      </c>
    </row>
    <row r="5" spans="1:6" x14ac:dyDescent="0.25">
      <c r="A5" s="6">
        <v>3</v>
      </c>
      <c r="B5" s="2" t="s">
        <v>104</v>
      </c>
      <c r="C5" s="34" t="s">
        <v>105</v>
      </c>
      <c r="E5" s="1">
        <v>10</v>
      </c>
      <c r="F5" s="47" t="s">
        <v>178</v>
      </c>
    </row>
    <row r="6" spans="1:6" x14ac:dyDescent="0.25">
      <c r="A6" s="6">
        <v>4</v>
      </c>
      <c r="B6" s="2" t="s">
        <v>107</v>
      </c>
      <c r="C6" s="2"/>
      <c r="E6" s="1">
        <v>5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4" sqref="G4"/>
    </sheetView>
  </sheetViews>
  <sheetFormatPr defaultColWidth="11" defaultRowHeight="12.75" x14ac:dyDescent="0.2"/>
  <cols>
    <col min="1" max="1" width="20.832031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VLOOKUP($A6,Dataset!$A$1:$G$40,7,0)</f>
        <v>2.7</v>
      </c>
      <c r="C6" s="12">
        <f>VLOOKUP($A6,Dataset!$A$1:$N$40,14,0)</f>
        <v>7.6</v>
      </c>
      <c r="D6" s="12">
        <f>VLOOKUP($A6,Dataset!$A$1:$R$40,18,0)</f>
        <v>4.2</v>
      </c>
      <c r="E6" s="12">
        <f>VLOOKUP($A6,Dataset!$A$1:$T$40,20,0)</f>
        <v>8.9</v>
      </c>
      <c r="F6" s="8">
        <f>VLOOKUP($A6,Dataset!$A$1:$V$40,22,0)</f>
        <v>4.2</v>
      </c>
    </row>
    <row r="7" spans="1:7" ht="15" x14ac:dyDescent="0.25">
      <c r="A7" s="7" t="s">
        <v>4</v>
      </c>
      <c r="B7" s="12">
        <f>VLOOKUP($A7,Dataset!$A$1:$G$40,7,0)</f>
        <v>2.7</v>
      </c>
      <c r="C7" s="12">
        <f>VLOOKUP($A7,Dataset!$A$1:$N$40,14,0)</f>
        <v>7.6</v>
      </c>
      <c r="D7" s="12">
        <f>VLOOKUP($A7,Dataset!$A$1:$R$40,18,0)</f>
        <v>4.2</v>
      </c>
      <c r="E7" s="12">
        <f>VLOOKUP($A7,Dataset!$A$1:$T$40,20,0)</f>
        <v>8.9</v>
      </c>
      <c r="F7" s="8">
        <f>VLOOKUP($A7,Dataset!$A$1:$V$40,22,0)</f>
        <v>4.2</v>
      </c>
    </row>
    <row r="8" spans="1:7" ht="15" x14ac:dyDescent="0.25">
      <c r="A8" s="7" t="s">
        <v>7</v>
      </c>
      <c r="B8" s="12">
        <f>VLOOKUP($A8,Dataset!$A$1:$G$40,7,0)</f>
        <v>3.6</v>
      </c>
      <c r="C8" s="12">
        <f>VLOOKUP($A8,Dataset!$A$1:$N$40,14,0)</f>
        <v>11.1</v>
      </c>
      <c r="D8" s="12">
        <f>VLOOKUP($A8,Dataset!$A$1:$R$40,18,0)</f>
        <v>5.8</v>
      </c>
      <c r="E8" s="12">
        <f>VLOOKUP($A8,Dataset!$A$1:$T$40,20,0)</f>
        <v>12.2</v>
      </c>
      <c r="F8" s="8">
        <f>VLOOKUP($A8,Dataset!$A$1:$V$40,22,0)</f>
        <v>5.8</v>
      </c>
    </row>
    <row r="9" spans="1:7" ht="15" x14ac:dyDescent="0.25">
      <c r="A9" s="7" t="s">
        <v>8</v>
      </c>
      <c r="B9" s="12">
        <f>VLOOKUP($A9,Dataset!$A$1:$G$40,7,0)</f>
        <v>4.9000000000000004</v>
      </c>
      <c r="C9" s="12">
        <f>VLOOKUP($A9,Dataset!$A$1:$N$40,14,0)</f>
        <v>13.3</v>
      </c>
      <c r="D9" s="12">
        <f>VLOOKUP($A9,Dataset!$A$1:$R$40,18,0)</f>
        <v>8.1</v>
      </c>
      <c r="E9" s="12">
        <f>VLOOKUP($A9,Dataset!$A$1:$T$40,20,0)</f>
        <v>17</v>
      </c>
      <c r="F9" s="8">
        <f>VLOOKUP($A9,Dataset!$A$1:$V$40,22,0)</f>
        <v>8.1</v>
      </c>
    </row>
    <row r="10" spans="1:7" ht="15" x14ac:dyDescent="0.25">
      <c r="A10" s="7" t="s">
        <v>11</v>
      </c>
      <c r="B10" s="12">
        <f>VLOOKUP($A10,Dataset!$A$1:$G$40,7,0)</f>
        <v>9.4</v>
      </c>
      <c r="C10" s="12">
        <f>VLOOKUP($A10,Dataset!$A$1:$N$40,14,0)</f>
        <v>28.3</v>
      </c>
      <c r="D10" s="12">
        <f>VLOOKUP($A10,Dataset!$A$1:$R$40,18,0)</f>
        <v>16.100000000000001</v>
      </c>
      <c r="E10" s="12">
        <f>VLOOKUP($A10,Dataset!$A$1:$T$40,20,0)</f>
        <v>32.799999999999997</v>
      </c>
      <c r="F10" s="8">
        <f>VLOOKUP($A10,Dataset!$A$1:$V$40,22,0)</f>
        <v>16.100000000000001</v>
      </c>
    </row>
    <row r="11" spans="1:7" ht="15" x14ac:dyDescent="0.25">
      <c r="A11" s="7" t="s">
        <v>12</v>
      </c>
      <c r="B11" s="12">
        <f>VLOOKUP($A11,Dataset!$A$1:$G$40,7,0)</f>
        <v>11.6</v>
      </c>
      <c r="C11" s="12">
        <f>VLOOKUP($A11,Dataset!$A$1:$N$40,14,0)</f>
        <v>35.200000000000003</v>
      </c>
      <c r="D11" s="12">
        <f>VLOOKUP($A11,Dataset!$A$1:$R$40,18,0)</f>
        <v>21.3</v>
      </c>
      <c r="E11" s="12">
        <f>VLOOKUP($A11,Dataset!$A$1:$T$40,20,0)</f>
        <v>43</v>
      </c>
      <c r="F11" s="8">
        <f>VLOOKUP($A11,Dataset!$A$1:$V$40,22,0)</f>
        <v>21.3</v>
      </c>
    </row>
    <row r="12" spans="1:7" ht="15" x14ac:dyDescent="0.25">
      <c r="A12" s="7" t="s">
        <v>14</v>
      </c>
      <c r="B12" s="12">
        <f>VLOOKUP($A12,Dataset!$A$1:$G$40,7,0)</f>
        <v>18.399999999999999</v>
      </c>
      <c r="C12" s="12">
        <f>VLOOKUP($A12,Dataset!$A$1:$N$40,14,0)</f>
        <v>55.6</v>
      </c>
      <c r="D12" s="12">
        <f>VLOOKUP($A12,Dataset!$A$1:$R$40,18,0)</f>
        <v>33.799999999999997</v>
      </c>
      <c r="E12" s="12">
        <f>VLOOKUP($A12,Dataset!$A$1:$T$40,20,0)</f>
        <v>67.900000000000006</v>
      </c>
      <c r="F12" s="8">
        <f>VLOOKUP($A12,Dataset!$A$1:$V$40,22,0)</f>
        <v>33.799999999999997</v>
      </c>
    </row>
    <row r="13" spans="1:7" ht="15" x14ac:dyDescent="0.25">
      <c r="A13" s="7" t="s">
        <v>15</v>
      </c>
      <c r="B13" s="12">
        <f>VLOOKUP($A13,Dataset!$A$1:$G$40,7,0)</f>
        <v>0</v>
      </c>
      <c r="C13" s="12">
        <f>VLOOKUP($A13,Dataset!$A$1:$N$40,14,0)</f>
        <v>0</v>
      </c>
      <c r="D13" s="12">
        <f>VLOOKUP($A13,Dataset!$A$1:$R$40,18,0)</f>
        <v>0</v>
      </c>
      <c r="E13" s="12">
        <f>VLOOKUP($A13,Dataset!$A$1:$T$40,20,0)</f>
        <v>0</v>
      </c>
      <c r="F13" s="8">
        <f>VLOOKUP($A13,Dataset!$A$1:$V$40,22,0)</f>
        <v>0</v>
      </c>
    </row>
    <row r="14" spans="1:7" ht="15" x14ac:dyDescent="0.25">
      <c r="A14" s="7" t="s">
        <v>16</v>
      </c>
      <c r="B14" s="12">
        <f>VLOOKUP($A14,Dataset!$A$1:$G$40,7,0)</f>
        <v>21.9</v>
      </c>
      <c r="C14" s="12">
        <f>VLOOKUP($A14,Dataset!$A$1:$N$40,14,0)</f>
        <v>61.5</v>
      </c>
      <c r="D14" s="12">
        <f>VLOOKUP($A14,Dataset!$A$1:$R$40,18,0)</f>
        <v>40.1</v>
      </c>
      <c r="E14" s="12">
        <f>VLOOKUP($A14,Dataset!$A$1:$T$40,20,0)</f>
        <v>76.599999999999994</v>
      </c>
      <c r="F14" s="8">
        <f>VLOOKUP($A14,Dataset!$A$1:$V$40,22,0)</f>
        <v>40.1</v>
      </c>
    </row>
    <row r="15" spans="1:7" ht="15" x14ac:dyDescent="0.25">
      <c r="A15" s="7" t="s">
        <v>18</v>
      </c>
      <c r="B15" s="12">
        <f>VLOOKUP($A15,Dataset!$A$1:$G$40,7,0)</f>
        <v>26.8</v>
      </c>
      <c r="C15" s="12">
        <f>VLOOKUP($A15,Dataset!$A$1:$N$40,14,0)</f>
        <v>79.599999999999994</v>
      </c>
      <c r="D15" s="12">
        <f>VLOOKUP($A15,Dataset!$A$1:$R$40,18,0)</f>
        <v>47.9</v>
      </c>
      <c r="E15" s="12">
        <f>VLOOKUP($A15,Dataset!$A$1:$T$40,20,0)</f>
        <v>96.8</v>
      </c>
      <c r="F15" s="8">
        <f>VLOOKUP($A15,Dataset!$A$1:$V$40,22,0)</f>
        <v>47.9</v>
      </c>
    </row>
    <row r="16" spans="1:7" ht="15" x14ac:dyDescent="0.25">
      <c r="A16" s="7" t="s">
        <v>20</v>
      </c>
      <c r="B16" s="12">
        <f>VLOOKUP($A16,Dataset!$A$1:$G$40,7,0)</f>
        <v>28.5</v>
      </c>
      <c r="C16" s="12">
        <f>VLOOKUP($A16,Dataset!$A$1:$N$40,14,0)</f>
        <v>85.4</v>
      </c>
      <c r="D16" s="12">
        <f>VLOOKUP($A16,Dataset!$A$1:$R$40,18,0)</f>
        <v>52.3</v>
      </c>
      <c r="E16" s="12">
        <f>VLOOKUP($A16,Dataset!$A$1:$T$40,20,0)</f>
        <v>106.1</v>
      </c>
      <c r="F16" s="8">
        <f>VLOOKUP($A16,Dataset!$A$1:$V$40,22,0)</f>
        <v>52.3</v>
      </c>
    </row>
    <row r="17" spans="1:6" ht="15" x14ac:dyDescent="0.25">
      <c r="A17" s="7" t="s">
        <v>22</v>
      </c>
      <c r="B17" s="12">
        <f>VLOOKUP($A17,Dataset!$A$1:$G$40,7,0)</f>
        <v>30.7</v>
      </c>
      <c r="C17" s="12">
        <f>VLOOKUP($A17,Dataset!$A$1:$N$40,14,0)</f>
        <v>92.1</v>
      </c>
      <c r="D17" s="12">
        <f>VLOOKUP($A17,Dataset!$A$1:$R$40,18,0)</f>
        <v>57</v>
      </c>
      <c r="E17" s="12">
        <f>VLOOKUP($A17,Dataset!$A$1:$T$40,20,0)</f>
        <v>115.1</v>
      </c>
      <c r="F17" s="8">
        <f>VLOOKUP($A17,Dataset!$A$1:$V$40,22,0)</f>
        <v>57</v>
      </c>
    </row>
    <row r="18" spans="1:6" ht="15" x14ac:dyDescent="0.25">
      <c r="A18" s="7" t="s">
        <v>23</v>
      </c>
      <c r="B18" s="12">
        <f>VLOOKUP($A18,Dataset!$A$1:$G$40,7,0)</f>
        <v>33.799999999999997</v>
      </c>
      <c r="C18" s="12">
        <f>VLOOKUP($A18,Dataset!$A$1:$N$40,14,0)</f>
        <v>101.3</v>
      </c>
      <c r="D18" s="12">
        <f>VLOOKUP($A18,Dataset!$A$1:$R$40,18,0)</f>
        <v>61.4</v>
      </c>
      <c r="E18" s="12">
        <f>VLOOKUP($A18,Dataset!$A$1:$T$40,20,0)</f>
        <v>124.4</v>
      </c>
      <c r="F18" s="8">
        <f>VLOOKUP($A18,Dataset!$A$1:$V$40,22,0)</f>
        <v>61.4</v>
      </c>
    </row>
    <row r="19" spans="1:6" ht="15" x14ac:dyDescent="0.25">
      <c r="A19" s="7" t="s">
        <v>24</v>
      </c>
      <c r="B19" s="12">
        <f>VLOOKUP($A19,Dataset!$A$1:$G$40,7,0)</f>
        <v>34.700000000000003</v>
      </c>
      <c r="C19" s="12">
        <f>VLOOKUP($A19,Dataset!$A$1:$N$40,14,0)</f>
        <v>106.1</v>
      </c>
      <c r="D19" s="12">
        <f>VLOOKUP($A19,Dataset!$A$1:$R$40,18,0)</f>
        <v>63.6</v>
      </c>
      <c r="E19" s="12">
        <f>VLOOKUP($A19,Dataset!$A$1:$T$40,20,0)</f>
        <v>128.6</v>
      </c>
      <c r="F19" s="8">
        <f>VLOOKUP($A19,Dataset!$A$1:$V$40,22,0)</f>
        <v>63.6</v>
      </c>
    </row>
    <row r="20" spans="1:6" ht="15" x14ac:dyDescent="0.25">
      <c r="A20" s="7" t="s">
        <v>28</v>
      </c>
      <c r="B20" s="12">
        <f>VLOOKUP($A20,Dataset!$A$1:$G$40,7,0)</f>
        <v>0</v>
      </c>
      <c r="C20" s="12">
        <f>VLOOKUP($A20,Dataset!$A$1:$N$40,14,0)</f>
        <v>0</v>
      </c>
      <c r="D20" s="12">
        <f>VLOOKUP($A20,Dataset!$A$1:$R$40,18,0)</f>
        <v>0</v>
      </c>
      <c r="E20" s="12">
        <f>VLOOKUP($A20,Dataset!$A$1:$T$40,20,0)</f>
        <v>0</v>
      </c>
      <c r="F20" s="8">
        <f>VLOOKUP($A20,Dataset!$A$1:$V$40,22,0)</f>
        <v>0</v>
      </c>
    </row>
    <row r="21" spans="1:6" ht="15" x14ac:dyDescent="0.25">
      <c r="A21" s="7" t="s">
        <v>57</v>
      </c>
      <c r="B21" s="12">
        <f>VLOOKUP($A21,Dataset!$A$1:$G$40,7,0)</f>
        <v>41.3</v>
      </c>
      <c r="C21" s="12">
        <f>VLOOKUP($A21,Dataset!$A$1:$N$40,14,0)</f>
        <v>124.4</v>
      </c>
      <c r="D21" s="12">
        <f>VLOOKUP($A21,Dataset!$A$1:$R$40,18,0)</f>
        <v>75</v>
      </c>
      <c r="E21" s="12">
        <f>VLOOKUP($A21,Dataset!$A$1:$T$40,20,0)</f>
        <v>151.5</v>
      </c>
      <c r="F21" s="8">
        <f>VLOOKUP($A21,Dataset!$A$1:$V$40,22,0)</f>
        <v>75</v>
      </c>
    </row>
    <row r="22" spans="1:6" ht="15" x14ac:dyDescent="0.25">
      <c r="A22" s="7" t="s">
        <v>58</v>
      </c>
      <c r="B22" s="12">
        <f>VLOOKUP($A22,Dataset!$A$1:$G$40,7,0)</f>
        <v>-1</v>
      </c>
      <c r="C22" s="12">
        <f>VLOOKUP($A22,Dataset!$A$1:$N$40,14,0)</f>
        <v>-1</v>
      </c>
      <c r="D22" s="12">
        <f>VLOOKUP($A22,Dataset!$A$1:$R$40,18,0)</f>
        <v>-1</v>
      </c>
      <c r="E22" s="12">
        <f>VLOOKUP($A22,Dataset!$A$1:$T$40,20,0)</f>
        <v>-1</v>
      </c>
      <c r="F22" s="8">
        <f>VLOOKUP($A22,Dataset!$A$1:$V$40,22,0)</f>
        <v>-1</v>
      </c>
    </row>
    <row r="23" spans="1:6" ht="15" x14ac:dyDescent="0.25">
      <c r="A23" s="7" t="s">
        <v>31</v>
      </c>
      <c r="B23" s="12">
        <f>VLOOKUP($A23,Dataset!$A$1:$G$40,7,0)</f>
        <v>45</v>
      </c>
      <c r="C23" s="12">
        <f>VLOOKUP($A23,Dataset!$A$1:$N$40,14,0)</f>
        <v>133.4</v>
      </c>
      <c r="D23" s="12">
        <f>VLOOKUP($A23,Dataset!$A$1:$R$40,18,0)</f>
        <v>79.400000000000006</v>
      </c>
      <c r="E23" s="12">
        <f>VLOOKUP($A23,Dataset!$A$1:$T$40,20,0)</f>
        <v>160.9</v>
      </c>
      <c r="F23" s="8">
        <f>VLOOKUP($A23,Dataset!$A$1:$V$40,22,0)</f>
        <v>79.400000000000006</v>
      </c>
    </row>
    <row r="24" spans="1:6" ht="15" x14ac:dyDescent="0.25">
      <c r="A24" s="7" t="s">
        <v>32</v>
      </c>
      <c r="B24" s="12">
        <f>VLOOKUP($A24,Dataset!$A$1:$G$40,7,0)</f>
        <v>-1</v>
      </c>
      <c r="C24" s="12">
        <f>VLOOKUP($A24,Dataset!$A$1:$N$40,14,0)</f>
        <v>-1</v>
      </c>
      <c r="D24" s="12">
        <f>VLOOKUP($A24,Dataset!$A$1:$R$40,18,0)</f>
        <v>-1</v>
      </c>
      <c r="E24" s="12">
        <f>VLOOKUP($A24,Dataset!$A$1:$T$40,20,0)</f>
        <v>-1</v>
      </c>
      <c r="F24" s="8">
        <f>VLOOKUP($A24,Dataset!$A$1:$V$40,22,0)</f>
        <v>-1</v>
      </c>
    </row>
    <row r="25" spans="1:6" ht="15" x14ac:dyDescent="0.25">
      <c r="A25" s="7" t="s">
        <v>34</v>
      </c>
      <c r="B25" s="12">
        <f>VLOOKUP($A25,Dataset!$A$1:$G$40,7,0)</f>
        <v>43.3</v>
      </c>
      <c r="C25" s="12">
        <f>VLOOKUP($A25,Dataset!$A$1:$N$40,14,0)</f>
        <v>128.6</v>
      </c>
      <c r="D25" s="12">
        <f>VLOOKUP($A25,Dataset!$A$1:$R$40,18,0)</f>
        <v>79.400000000000006</v>
      </c>
      <c r="E25" s="12">
        <f>VLOOKUP($A25,Dataset!$A$1:$T$40,20,0)</f>
        <v>160.9</v>
      </c>
      <c r="F25" s="8">
        <f>VLOOKUP($A25,Dataset!$A$1:$V$40,22,0)</f>
        <v>79.400000000000006</v>
      </c>
    </row>
    <row r="26" spans="1:6" ht="15" x14ac:dyDescent="0.25">
      <c r="A26" s="7" t="s">
        <v>37</v>
      </c>
      <c r="B26" s="12">
        <f>VLOOKUP($A26,Dataset!$A$1:$G$40,7,0)</f>
        <v>49.1</v>
      </c>
      <c r="C26" s="12">
        <f>VLOOKUP($A26,Dataset!$A$1:$N$40,14,0)</f>
        <v>146.80000000000001</v>
      </c>
      <c r="D26" s="12">
        <f>VLOOKUP($A26,Dataset!$A$1:$R$40,18,0)</f>
        <v>90.9</v>
      </c>
      <c r="E26" s="12">
        <f>VLOOKUP($A26,Dataset!$A$1:$T$40,20,0)</f>
        <v>183.5</v>
      </c>
      <c r="F26" s="8">
        <f>VLOOKUP($A26,Dataset!$A$1:$V$40,22,0)</f>
        <v>90.9</v>
      </c>
    </row>
    <row r="27" spans="1:6" ht="15" x14ac:dyDescent="0.25">
      <c r="A27" s="7" t="s">
        <v>39</v>
      </c>
      <c r="B27" s="12">
        <f>VLOOKUP($A27,Dataset!$A$1:$G$40,7,0)</f>
        <v>51.8</v>
      </c>
      <c r="C27" s="12">
        <f>VLOOKUP($A27,Dataset!$A$1:$N$40,14,0)</f>
        <v>156.4</v>
      </c>
      <c r="D27" s="12">
        <f>VLOOKUP($A27,Dataset!$A$1:$R$40,18,0)</f>
        <v>93.1</v>
      </c>
      <c r="E27" s="12">
        <f>VLOOKUP($A27,Dataset!$A$1:$T$40,20,0)</f>
        <v>188.1</v>
      </c>
      <c r="F27" s="8">
        <f>VLOOKUP($A27,Dataset!$A$1:$V$40,22,0)</f>
        <v>93.1</v>
      </c>
    </row>
    <row r="28" spans="1:6" ht="15" x14ac:dyDescent="0.25">
      <c r="A28" s="19" t="s">
        <v>82</v>
      </c>
      <c r="B28" s="31">
        <f>MIN(B$6:B$27)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MAX(B$6:B$27)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AVERAGE(B$6:B$27)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48" t="s">
        <v>180</v>
      </c>
    </row>
    <row r="6" spans="1:10" ht="18.75" x14ac:dyDescent="0.3">
      <c r="A6" s="43" t="s">
        <v>154</v>
      </c>
      <c r="B6" s="40" t="s">
        <v>181</v>
      </c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12" t="str" cm="1">
        <f t="array" ref="B16:F16">_xlfn.TEXTSPLIT($A16,"-")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25">
      <c r="A17" s="7" t="s">
        <v>123</v>
      </c>
      <c r="B17" s="12" t="str" cm="1">
        <f t="array" ref="B17:F17">_xlfn.TEXTSPLIT($A17,"-")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25">
      <c r="A18" s="7" t="s">
        <v>124</v>
      </c>
      <c r="B18" s="12" t="str" cm="1">
        <f t="array" ref="B18:F18">_xlfn.TEXTSPLIT($A18,"-")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25">
      <c r="A19" s="7" t="s">
        <v>125</v>
      </c>
      <c r="B19" s="12" t="str" cm="1">
        <f t="array" ref="B19:F19">_xlfn.TEXTSPLIT($A19,"-")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25">
      <c r="A20" s="7" t="s">
        <v>126</v>
      </c>
      <c r="B20" s="12" t="str" cm="1">
        <f t="array" ref="B20:F20">_xlfn.TEXTSPLIT($A20,"-")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25">
      <c r="A21" s="7" t="s">
        <v>127</v>
      </c>
      <c r="B21" s="12" t="str" cm="1">
        <f t="array" ref="B21:F21">_xlfn.TEXTSPLIT($A21,"-")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25">
      <c r="A22" s="7" t="s">
        <v>128</v>
      </c>
      <c r="B22" s="12" t="str" cm="1">
        <f t="array" ref="B22:F22">_xlfn.TEXTSPLIT($A22,"-")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25">
      <c r="A23" s="7" t="s">
        <v>129</v>
      </c>
      <c r="B23" s="12" t="str" cm="1">
        <f t="array" ref="B23:F23">_xlfn.TEXTSPLIT($A23,"-")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25">
      <c r="A24" s="7" t="s">
        <v>130</v>
      </c>
      <c r="B24" s="12" t="str" cm="1">
        <f t="array" ref="B24:F24">_xlfn.TEXTSPLIT($A24,"-")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25">
      <c r="A25" s="7" t="s">
        <v>131</v>
      </c>
      <c r="B25" s="12" t="str" cm="1">
        <f t="array" ref="B25:F25">_xlfn.TEXTSPLIT($A25,"-")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25">
      <c r="A26" s="7" t="s">
        <v>132</v>
      </c>
      <c r="B26" s="12" t="str" cm="1">
        <f t="array" ref="B26:F26">_xlfn.TEXTSPLIT($A26,"-")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25">
      <c r="A27" s="7" t="s">
        <v>133</v>
      </c>
      <c r="B27" s="12" t="str" cm="1">
        <f t="array" ref="B27:F27">_xlfn.TEXTSPLIT($A27,"-")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25">
      <c r="A28" s="7" t="s">
        <v>134</v>
      </c>
      <c r="B28" s="12" t="str" cm="1">
        <f t="array" ref="B28:F28">_xlfn.TEXTSPLIT($A28,"-")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25">
      <c r="A29" s="7" t="s">
        <v>135</v>
      </c>
      <c r="B29" s="12" t="str" cm="1">
        <f t="array" ref="B29:F29">_xlfn.TEXTSPLIT($A29,"-")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25">
      <c r="A30" s="7" t="s">
        <v>136</v>
      </c>
      <c r="B30" s="12" t="str" cm="1">
        <f t="array" ref="B30:F30">_xlfn.TEXTSPLIT($A30,"-")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25">
      <c r="A31" s="7" t="s">
        <v>137</v>
      </c>
      <c r="B31" s="12" t="str" cm="1">
        <f t="array" ref="B31:F31">_xlfn.TEXTSPLIT($A31,"-")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25">
      <c r="A32" s="7" t="s">
        <v>138</v>
      </c>
      <c r="B32" s="12" t="str" cm="1">
        <f t="array" ref="B32:F32">_xlfn.TEXTSPLIT($A32,"-")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25">
      <c r="A33" s="7" t="s">
        <v>139</v>
      </c>
      <c r="B33" s="12" t="str" cm="1">
        <f t="array" ref="B33:F33">_xlfn.TEXTSPLIT($A33,"-")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25">
      <c r="A34" s="7" t="s">
        <v>140</v>
      </c>
      <c r="B34" s="12" t="str" cm="1">
        <f t="array" ref="B34:F34">_xlfn.TEXTSPLIT($A34,"-")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25">
      <c r="A35" s="7" t="s">
        <v>141</v>
      </c>
      <c r="B35" s="12" t="str" cm="1">
        <f t="array" ref="B35:F35">_xlfn.TEXTSPLIT($A35,"-")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25">
      <c r="A36" s="7" t="s">
        <v>142</v>
      </c>
      <c r="B36" s="12" t="str" cm="1">
        <f t="array" ref="B36:F36">_xlfn.TEXTSPLIT($A36,"-")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25">
      <c r="A37" s="7" t="s">
        <v>143</v>
      </c>
      <c r="B37" s="12" t="str" cm="1">
        <f t="array" ref="B37:F37">_xlfn.TEXTSPLIT($A37,"-")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25">
      <c r="A38" s="7" t="s">
        <v>144</v>
      </c>
      <c r="B38" s="12" t="str" cm="1">
        <f t="array" ref="B38:F38">_xlfn.TEXTSPLIT($A38,"-")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25">
      <c r="A39" s="7" t="s">
        <v>145</v>
      </c>
      <c r="B39" s="12" t="str" cm="1">
        <f t="array" ref="B39:F39">_xlfn.TEXTSPLIT($A39,"-")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25">
      <c r="A40" s="7" t="s">
        <v>146</v>
      </c>
      <c r="B40" s="12" t="str" cm="1">
        <f t="array" ref="B40:F40">_xlfn.TEXTSPLIT($A40,"-")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25">
      <c r="A41" s="7" t="s">
        <v>147</v>
      </c>
      <c r="B41" s="12" t="str" cm="1">
        <f t="array" ref="B41:F41">_xlfn.TEXTSPLIT($A41,"-")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25">
      <c r="A42" s="7" t="s">
        <v>148</v>
      </c>
      <c r="B42" s="12" t="str" cm="1">
        <f t="array" ref="B42:F42">_xlfn.TEXTSPLIT($A42,"-")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25">
      <c r="A43" s="7" t="s">
        <v>149</v>
      </c>
      <c r="B43" s="12" t="str" cm="1">
        <f t="array" ref="B43:F43">_xlfn.TEXTSPLIT($A43,"-")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25">
      <c r="A44" s="7" t="s">
        <v>150</v>
      </c>
      <c r="B44" s="12" t="str" cm="1">
        <f t="array" ref="B44:F44">_xlfn.TEXTSPLIT($A44,"-")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25">
      <c r="A45" s="7" t="s">
        <v>151</v>
      </c>
      <c r="B45" s="12" t="str" cm="1">
        <f t="array" ref="B45:F45">_xlfn.TEXTSPLIT($A45,"-")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25">
      <c r="A46" s="7" t="s">
        <v>113</v>
      </c>
      <c r="B46" s="12" t="str" cm="1">
        <f t="array" ref="B46:F46">_xlfn.TEXTSPLIT($A46,"-")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25">
      <c r="A47" s="7" t="s">
        <v>114</v>
      </c>
      <c r="B47" s="12" t="str" cm="1">
        <f t="array" ref="B47:F47">_xlfn.TEXTSPLIT($A47,"-")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25">
      <c r="A48" s="7" t="s">
        <v>115</v>
      </c>
      <c r="B48" s="12" t="str" cm="1">
        <f t="array" ref="B48:F48">_xlfn.TEXTSPLIT($A48,"-")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25">
      <c r="A49" s="7" t="s">
        <v>116</v>
      </c>
      <c r="B49" s="12" t="str" cm="1">
        <f t="array" ref="B49:F49">_xlfn.TEXTSPLIT($A49,"-")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25">
      <c r="A50" s="7" t="s">
        <v>117</v>
      </c>
      <c r="B50" s="12" t="str" cm="1">
        <f t="array" ref="B50:F50">_xlfn.TEXTSPLIT($A50,"-")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25">
      <c r="A51" s="7" t="s">
        <v>118</v>
      </c>
      <c r="B51" s="12" t="str" cm="1">
        <f t="array" ref="B51:F51">_xlfn.TEXTSPLIT($A51,"-")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25">
      <c r="A52" s="7" t="s">
        <v>119</v>
      </c>
      <c r="B52" s="12" t="str" cm="1">
        <f t="array" ref="B52:F52">_xlfn.TEXTSPLIT($A52,"-")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25">
      <c r="A53" s="7" t="s">
        <v>120</v>
      </c>
      <c r="B53" s="12" t="str" cm="1">
        <f t="array" ref="B53:F53">_xlfn.TEXTSPLIT($A53,"-")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25">
      <c r="A54" s="9" t="s">
        <v>121</v>
      </c>
      <c r="B54" s="12" t="str" cm="1">
        <f t="array" ref="B54:F54">_xlfn.TEXTSPLIT($A54,"-")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8" sqref="C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/>
      <c r="C6" s="49" t="s">
        <v>184</v>
      </c>
    </row>
    <row r="7" spans="1:3" ht="15" x14ac:dyDescent="0.25">
      <c r="A7" s="3" t="s">
        <v>154</v>
      </c>
      <c r="B7" s="1"/>
      <c r="C7" s="2" t="s">
        <v>185</v>
      </c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6" sqref="C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  <c r="C4" s="49" t="s">
        <v>182</v>
      </c>
    </row>
    <row r="5" spans="1:14" ht="18.75" x14ac:dyDescent="0.3">
      <c r="A5" s="43" t="s">
        <v>154</v>
      </c>
      <c r="B5" s="1"/>
      <c r="C5" s="2" t="s">
        <v>183</v>
      </c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INDEX($A$9:$J$18,MATCH(VLOOKUP($A23,$M$9:$N$18,2,0),$A$9:$A$18,0),MATCH(VLOOKUP($B23,$M$9:$N$18,2,0),$A$9:$J$9,0))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INDEX($A$9:$J$18,MATCH(VLOOKUP($A24,$M$9:$N$18,2,0),$A$9:$A$18,0),MATCH(VLOOKUP($B24,$M$9:$N$18,2,0),$A$9:$J$9,0))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Garima Mishra</cp:lastModifiedBy>
  <dcterms:created xsi:type="dcterms:W3CDTF">2015-02-10T17:33:11Z</dcterms:created>
  <dcterms:modified xsi:type="dcterms:W3CDTF">2023-12-10T17:30:33Z</dcterms:modified>
</cp:coreProperties>
</file>